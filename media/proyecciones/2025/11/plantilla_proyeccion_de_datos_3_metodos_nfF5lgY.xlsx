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ll\Desktop\ingenieria en sistemas informaticos\10°ciclo\Analisis Financiero\data proyecto\"/>
    </mc:Choice>
  </mc:AlternateContent>
  <xr:revisionPtr revIDLastSave="0" documentId="13_ncr:1_{3616D072-B643-467F-B0D6-6C06B98033E0}" xr6:coauthVersionLast="47" xr6:coauthVersionMax="47" xr10:uidLastSave="{00000000-0000-0000-0000-000000000000}"/>
  <bookViews>
    <workbookView xWindow="-120" yWindow="-120" windowWidth="29040" windowHeight="15840" activeTab="1" xr2:uid="{CB63F3BF-C24B-46E3-9DDF-CC0D73BD236A}"/>
  </bookViews>
  <sheets>
    <sheet name="minimos cuadrados" sheetId="4" r:id="rId1"/>
    <sheet name="valor incremental" sheetId="2" r:id="rId2"/>
    <sheet name="valor absoluto" sheetId="3" r:id="rId3"/>
  </sheets>
  <externalReferences>
    <externalReference r:id="rId4"/>
  </externalReferences>
  <definedNames>
    <definedName name="CB_Block_00000000000000000000000000000000" localSheetId="2" hidden="1">"'7.0.0.0"</definedName>
    <definedName name="CB_Block_00000000000000000000000000000000" localSheetId="1" hidden="1">"'7.0.0.0"</definedName>
    <definedName name="CB_Block_00000000000000000000000000000001" localSheetId="2" hidden="1">"'637389579382358843"</definedName>
    <definedName name="CB_Block_00000000000000000000000000000001" localSheetId="1" hidden="1">"'637389579382358843"</definedName>
    <definedName name="CB_Block_00000000000000000000000000000003" localSheetId="2" hidden="1">"'11.1.4716.0"</definedName>
    <definedName name="CB_Block_00000000000000000000000000000003" localSheetId="1" hidden="1">"'11.1.4716.0"</definedName>
    <definedName name="CB_BlockExt_00000000000000000000000000000003" localSheetId="2" hidden="1">"'11.1.2.4.850"</definedName>
    <definedName name="CB_BlockExt_00000000000000000000000000000003" localSheetId="1" hidden="1">"'11.1.2.4.850"</definedName>
    <definedName name="CB_db9ffa01ca174f17b85316b8582168cc" localSheetId="2" hidden="1">#N/A</definedName>
    <definedName name="CB_db9ffa01ca174f17b85316b8582168cc" localSheetId="1" hidden="1">#N/A</definedName>
    <definedName name="CBCR_90e62d98fccd4912a5daed393e9d6737" localSheetId="2" hidden="1">'valor absoluto'!$D$2:$D$37</definedName>
    <definedName name="CBCR_90e62d98fccd4912a5daed393e9d6737" localSheetId="1" hidden="1">'valor incremental'!$D$2:$D$37</definedName>
    <definedName name="CBCR_COL_0" localSheetId="2" hidden="1">'valor absoluto'!$J:$J</definedName>
    <definedName name="CBCR_COL_0" localSheetId="1" hidden="1">'valor incremental'!$J:$J</definedName>
    <definedName name="CBCR_COL_1" localSheetId="2" hidden="1">'valor absoluto'!#REF!</definedName>
    <definedName name="CBCR_COL_1" localSheetId="1" hidden="1">'valor incremental'!#REF!</definedName>
    <definedName name="CBCR_COL_2" localSheetId="2" hidden="1">'valor absoluto'!#REF!</definedName>
    <definedName name="CBCR_COL_2" localSheetId="1" hidden="1">'valor incremental'!#REF!</definedName>
    <definedName name="CBCR_COL_3" localSheetId="2" hidden="1">'valor absoluto'!#REF!</definedName>
    <definedName name="CBCR_COL_3" localSheetId="1" hidden="1">'valor incremental'!#REF!</definedName>
    <definedName name="CBCR_COL_4" localSheetId="2" hidden="1">'valor absoluto'!$D:$D</definedName>
    <definedName name="CBCR_COL_4" localSheetId="1" hidden="1">'valor incremental'!$D:$D</definedName>
    <definedName name="CBCR_COL_5" localSheetId="2" hidden="1">'valor absoluto'!$C:$C</definedName>
    <definedName name="CBCR_COL_5" localSheetId="1" hidden="1">'valor incremental'!$C:$C</definedName>
    <definedName name="CBx_Sheet_Guid" localSheetId="2" hidden="1">"'7de5fa3d-faaa-4af6-b3e1-a97562386783"</definedName>
    <definedName name="CBx_Sheet_Guid" localSheetId="1" hidden="1">"'7de5fa3d-faaa-4af6-b3e1-a97562386783"</definedName>
    <definedName name="CBx_SheetRef" localSheetId="2" hidden="1">[1]CB_DATA_!$C$14</definedName>
    <definedName name="CBx_SheetRef" localSheetId="1" hidden="1">[1]CB_DATA_!$D$14</definedName>
    <definedName name="CBx_StorageType" localSheetId="2" hidden="1">2</definedName>
    <definedName name="CBx_StorageType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38" i="3" l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E38" i="2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</calcChain>
</file>

<file path=xl/sharedStrings.xml><?xml version="1.0" encoding="utf-8"?>
<sst xmlns="http://schemas.openxmlformats.org/spreadsheetml/2006/main" count="14" uniqueCount="6">
  <si>
    <t>Año</t>
  </si>
  <si>
    <t>Mes</t>
  </si>
  <si>
    <t>Y1- Y n-1</t>
  </si>
  <si>
    <t>NA</t>
  </si>
  <si>
    <t>Promedio Variacion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</si>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</sst>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1" applyNumberFormat="1" applyFont="1"/>
    <xf numFmtId="3" fontId="3" fillId="2" borderId="0" xfId="0" applyNumberFormat="1" applyFont="1" applyFill="1"/>
    <xf numFmtId="0" fontId="0" fillId="0" borderId="0" xfId="2" applyNumberFormat="1" applyFont="1"/>
    <xf numFmtId="3" fontId="3" fillId="0" borderId="0" xfId="0" applyNumberFormat="1" applyFont="1"/>
    <xf numFmtId="3" fontId="4" fillId="0" borderId="0" xfId="0" applyNumberFormat="1" applyFont="1"/>
    <xf numFmtId="3" fontId="3" fillId="3" borderId="0" xfId="0" applyNumberFormat="1" applyFont="1" applyFill="1"/>
    <xf numFmtId="3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</cellXfs>
  <cellStyles count="3">
    <cellStyle name="Moneda 2" xfId="2" xr:uid="{1A3ECC73-023C-4AC6-BEB4-93EA02D1BF0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168524</xdr:colOff>
      <xdr:row>0</xdr:row>
      <xdr:rowOff>131886</xdr:rowOff>
    </xdr:from>
    <xdr:to>
      <xdr:col>5</xdr:col>
      <xdr:colOff>1378022</xdr:colOff>
      <xdr:row>1</xdr:row>
      <xdr:rowOff>153866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64D4A-28F8-4076-BA4C-C85ABB08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724" y="322386"/>
          <a:ext cx="1209498" cy="21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ell\Desktop\ingenieria%20en%20sistemas%20informaticos\10&#176;ciclo\Analisis%20Financiero\repaso%20corto%202\MC21105C2.xlsx" TargetMode="External"/><Relationship Id="rId1" Type="http://schemas.openxmlformats.org/officeDocument/2006/relationships/externalLinkPath" Target="/Users/cuell/Desktop/ingenieria%20en%20sistemas%20informaticos/10&#176;ciclo/Analisis%20Financiero/repaso%20corto%202/MC21105C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_DATA_"/>
      <sheetName val="intro"/>
      <sheetName val="minimos"/>
      <sheetName val="in%"/>
      <sheetName val="V absoluta"/>
      <sheetName val="ventas y desembolsos"/>
      <sheetName val="presupuesto caja"/>
      <sheetName val="estado pyg"/>
      <sheetName val="pyg proforma"/>
      <sheetName val="disc3M"/>
      <sheetName val="disc8 ej3"/>
      <sheetName val="disc8 ej4"/>
    </sheetNames>
    <sheetDataSet>
      <sheetData sheetId="0">
        <row r="14">
          <cell r="C14" t="str">
            <v>7de5fa3d-faaa-4af6-b3e1-a97562386783</v>
          </cell>
          <cell r="D14" t="str">
            <v>7de5fa3d-faaa-4af6-b3e1-a97562386783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FC51-4BD3-4655-8CED-07DED6B527D9}">
  <dimension ref="C1:E49"/>
  <sheetViews>
    <sheetView workbookViewId="0">
      <selection activeCell="H9" sqref="H9"/>
    </sheetView>
  </sheetViews>
  <sheetFormatPr baseColWidth="10" defaultRowHeight="15" x14ac:dyDescent="0.25"/>
  <sheetData>
    <row r="1" spans="3:5" x14ac:dyDescent="0.25">
      <c r="C1" s="10" t="s">
        <v>0</v>
      </c>
      <c r="D1" s="10" t="s">
        <v>1</v>
      </c>
      <c r="E1" s="11" t="s">
        <v>5</v>
      </c>
    </row>
    <row r="2" spans="3:5" x14ac:dyDescent="0.25">
      <c r="C2" s="12">
        <v>2015</v>
      </c>
      <c r="D2" s="1">
        <v>1</v>
      </c>
      <c r="E2" s="2">
        <v>100000</v>
      </c>
    </row>
    <row r="3" spans="3:5" x14ac:dyDescent="0.25">
      <c r="C3" s="12"/>
      <c r="D3" s="1">
        <v>2</v>
      </c>
      <c r="E3" s="2">
        <v>110000</v>
      </c>
    </row>
    <row r="4" spans="3:5" x14ac:dyDescent="0.25">
      <c r="C4" s="12"/>
      <c r="D4" s="1">
        <v>3</v>
      </c>
      <c r="E4" s="2">
        <v>125000</v>
      </c>
    </row>
    <row r="5" spans="3:5" x14ac:dyDescent="0.25">
      <c r="C5" s="12"/>
      <c r="D5" s="1">
        <v>4</v>
      </c>
      <c r="E5" s="2">
        <v>128000</v>
      </c>
    </row>
    <row r="6" spans="3:5" x14ac:dyDescent="0.25">
      <c r="C6" s="12"/>
      <c r="D6" s="1">
        <v>5</v>
      </c>
      <c r="E6" s="2">
        <v>132000</v>
      </c>
    </row>
    <row r="7" spans="3:5" x14ac:dyDescent="0.25">
      <c r="C7" s="12"/>
      <c r="D7" s="1">
        <v>6</v>
      </c>
      <c r="E7" s="2">
        <v>136000</v>
      </c>
    </row>
    <row r="8" spans="3:5" x14ac:dyDescent="0.25">
      <c r="C8" s="12"/>
      <c r="D8" s="1">
        <v>7</v>
      </c>
      <c r="E8" s="2">
        <v>139000</v>
      </c>
    </row>
    <row r="9" spans="3:5" x14ac:dyDescent="0.25">
      <c r="C9" s="12"/>
      <c r="D9" s="1">
        <v>8</v>
      </c>
      <c r="E9" s="2">
        <v>200000</v>
      </c>
    </row>
    <row r="10" spans="3:5" x14ac:dyDescent="0.25">
      <c r="C10" s="12"/>
      <c r="D10" s="1">
        <v>9</v>
      </c>
      <c r="E10" s="2">
        <v>220000</v>
      </c>
    </row>
    <row r="11" spans="3:5" x14ac:dyDescent="0.25">
      <c r="C11" s="12"/>
      <c r="D11" s="1">
        <v>10</v>
      </c>
      <c r="E11" s="2">
        <v>221000</v>
      </c>
    </row>
    <row r="12" spans="3:5" x14ac:dyDescent="0.25">
      <c r="C12" s="12"/>
      <c r="D12" s="1">
        <v>11</v>
      </c>
      <c r="E12" s="2">
        <v>225000</v>
      </c>
    </row>
    <row r="13" spans="3:5" x14ac:dyDescent="0.25">
      <c r="C13" s="12"/>
      <c r="D13" s="1">
        <v>12</v>
      </c>
      <c r="E13" s="2">
        <v>229000</v>
      </c>
    </row>
    <row r="14" spans="3:5" x14ac:dyDescent="0.25">
      <c r="C14" s="12">
        <v>2016</v>
      </c>
      <c r="D14" s="1">
        <v>13</v>
      </c>
      <c r="E14" s="2">
        <v>217000</v>
      </c>
    </row>
    <row r="15" spans="3:5" x14ac:dyDescent="0.25">
      <c r="C15" s="12"/>
      <c r="D15" s="1">
        <v>14</v>
      </c>
      <c r="E15" s="2">
        <v>221000</v>
      </c>
    </row>
    <row r="16" spans="3:5" x14ac:dyDescent="0.25">
      <c r="C16" s="12"/>
      <c r="D16" s="1">
        <v>15</v>
      </c>
      <c r="E16" s="2">
        <v>229000</v>
      </c>
    </row>
    <row r="17" spans="3:5" x14ac:dyDescent="0.25">
      <c r="C17" s="12"/>
      <c r="D17" s="1">
        <v>16</v>
      </c>
      <c r="E17" s="2">
        <v>245000</v>
      </c>
    </row>
    <row r="18" spans="3:5" x14ac:dyDescent="0.25">
      <c r="C18" s="12"/>
      <c r="D18" s="1">
        <v>17</v>
      </c>
      <c r="E18" s="2">
        <v>251000</v>
      </c>
    </row>
    <row r="19" spans="3:5" x14ac:dyDescent="0.25">
      <c r="C19" s="12"/>
      <c r="D19" s="1">
        <v>18</v>
      </c>
      <c r="E19" s="2">
        <v>255000</v>
      </c>
    </row>
    <row r="20" spans="3:5" x14ac:dyDescent="0.25">
      <c r="C20" s="12"/>
      <c r="D20" s="1">
        <v>19</v>
      </c>
      <c r="E20" s="2">
        <v>267000</v>
      </c>
    </row>
    <row r="21" spans="3:5" x14ac:dyDescent="0.25">
      <c r="C21" s="12"/>
      <c r="D21" s="1">
        <v>20</v>
      </c>
      <c r="E21" s="2">
        <v>271000</v>
      </c>
    </row>
    <row r="22" spans="3:5" x14ac:dyDescent="0.25">
      <c r="C22" s="12"/>
      <c r="D22" s="1">
        <v>21</v>
      </c>
      <c r="E22" s="2">
        <v>280000</v>
      </c>
    </row>
    <row r="23" spans="3:5" x14ac:dyDescent="0.25">
      <c r="C23" s="12"/>
      <c r="D23" s="1">
        <v>22</v>
      </c>
      <c r="E23" s="2">
        <v>289000</v>
      </c>
    </row>
    <row r="24" spans="3:5" x14ac:dyDescent="0.25">
      <c r="C24" s="12"/>
      <c r="D24" s="1">
        <v>23</v>
      </c>
      <c r="E24" s="2">
        <v>294000</v>
      </c>
    </row>
    <row r="25" spans="3:5" x14ac:dyDescent="0.25">
      <c r="C25" s="12">
        <v>2017</v>
      </c>
      <c r="D25" s="1">
        <v>24</v>
      </c>
      <c r="E25" s="2">
        <v>299000</v>
      </c>
    </row>
    <row r="26" spans="3:5" x14ac:dyDescent="0.25">
      <c r="C26" s="12"/>
      <c r="D26" s="1">
        <v>25</v>
      </c>
      <c r="E26" s="2">
        <v>281000</v>
      </c>
    </row>
    <row r="27" spans="3:5" x14ac:dyDescent="0.25">
      <c r="C27" s="12"/>
      <c r="D27" s="1">
        <v>26</v>
      </c>
      <c r="E27" s="2">
        <v>288000</v>
      </c>
    </row>
    <row r="28" spans="3:5" x14ac:dyDescent="0.25">
      <c r="C28" s="12"/>
      <c r="D28" s="1">
        <v>27</v>
      </c>
      <c r="E28" s="2">
        <v>295000</v>
      </c>
    </row>
    <row r="29" spans="3:5" x14ac:dyDescent="0.25">
      <c r="C29" s="12"/>
      <c r="D29" s="1">
        <v>28</v>
      </c>
      <c r="E29" s="2">
        <v>299000</v>
      </c>
    </row>
    <row r="30" spans="3:5" x14ac:dyDescent="0.25">
      <c r="C30" s="12"/>
      <c r="D30" s="1">
        <v>29</v>
      </c>
      <c r="E30" s="2">
        <v>302000</v>
      </c>
    </row>
    <row r="31" spans="3:5" x14ac:dyDescent="0.25">
      <c r="C31" s="12"/>
      <c r="D31" s="1">
        <v>30</v>
      </c>
      <c r="E31" s="2">
        <v>311000</v>
      </c>
    </row>
    <row r="32" spans="3:5" x14ac:dyDescent="0.25">
      <c r="C32" s="12"/>
      <c r="D32" s="1">
        <v>31</v>
      </c>
      <c r="E32" s="2">
        <v>320000</v>
      </c>
    </row>
    <row r="33" spans="3:5" x14ac:dyDescent="0.25">
      <c r="C33" s="12"/>
      <c r="D33" s="1">
        <v>32</v>
      </c>
      <c r="E33" s="2">
        <v>331000</v>
      </c>
    </row>
    <row r="34" spans="3:5" x14ac:dyDescent="0.25">
      <c r="C34" s="12"/>
      <c r="D34" s="1">
        <v>33</v>
      </c>
      <c r="E34" s="2">
        <v>338000</v>
      </c>
    </row>
    <row r="35" spans="3:5" x14ac:dyDescent="0.25">
      <c r="C35" s="12"/>
      <c r="D35" s="1">
        <v>34</v>
      </c>
      <c r="E35" s="2">
        <v>342000</v>
      </c>
    </row>
    <row r="36" spans="3:5" x14ac:dyDescent="0.25">
      <c r="C36" s="12"/>
      <c r="D36" s="1">
        <v>35</v>
      </c>
      <c r="E36" s="2">
        <v>356000</v>
      </c>
    </row>
    <row r="37" spans="3:5" x14ac:dyDescent="0.25">
      <c r="C37" s="12"/>
      <c r="D37" s="1">
        <v>36</v>
      </c>
      <c r="E37" s="2">
        <v>370000</v>
      </c>
    </row>
    <row r="38" spans="3:5" x14ac:dyDescent="0.25">
      <c r="C38" s="17">
        <v>2018</v>
      </c>
      <c r="D38" s="1">
        <v>37</v>
      </c>
      <c r="E38" s="16">
        <v>374005.7</v>
      </c>
    </row>
    <row r="39" spans="3:5" x14ac:dyDescent="0.25">
      <c r="C39" s="17"/>
      <c r="D39" s="1">
        <v>38</v>
      </c>
      <c r="E39" s="16">
        <v>380834.80000000005</v>
      </c>
    </row>
    <row r="40" spans="3:5" x14ac:dyDescent="0.25">
      <c r="C40" s="17"/>
      <c r="D40" s="1">
        <v>39</v>
      </c>
      <c r="E40" s="16">
        <v>387663.9</v>
      </c>
    </row>
    <row r="41" spans="3:5" x14ac:dyDescent="0.25">
      <c r="C41" s="17"/>
      <c r="D41" s="1">
        <v>40</v>
      </c>
      <c r="E41" s="16">
        <v>394493</v>
      </c>
    </row>
    <row r="42" spans="3:5" x14ac:dyDescent="0.25">
      <c r="C42" s="17"/>
      <c r="D42" s="1">
        <v>41</v>
      </c>
      <c r="E42" s="16">
        <v>401322.10000000003</v>
      </c>
    </row>
    <row r="43" spans="3:5" x14ac:dyDescent="0.25">
      <c r="C43" s="17"/>
      <c r="D43" s="1">
        <v>42</v>
      </c>
      <c r="E43" s="16">
        <v>408151.2</v>
      </c>
    </row>
    <row r="44" spans="3:5" x14ac:dyDescent="0.25">
      <c r="C44" s="17"/>
      <c r="D44" s="1">
        <v>43</v>
      </c>
      <c r="E44" s="16">
        <v>414980.3</v>
      </c>
    </row>
    <row r="45" spans="3:5" x14ac:dyDescent="0.25">
      <c r="C45" s="17"/>
      <c r="D45" s="1">
        <v>44</v>
      </c>
      <c r="E45" s="16">
        <v>421809.4</v>
      </c>
    </row>
    <row r="46" spans="3:5" x14ac:dyDescent="0.25">
      <c r="C46" s="17"/>
      <c r="D46" s="1">
        <v>45</v>
      </c>
      <c r="E46" s="16">
        <v>428638.5</v>
      </c>
    </row>
    <row r="47" spans="3:5" x14ac:dyDescent="0.25">
      <c r="C47" s="17"/>
      <c r="D47" s="1">
        <v>46</v>
      </c>
      <c r="E47" s="16">
        <v>435467.60000000003</v>
      </c>
    </row>
    <row r="48" spans="3:5" x14ac:dyDescent="0.25">
      <c r="C48" s="17"/>
      <c r="D48" s="1">
        <v>47</v>
      </c>
      <c r="E48" s="16">
        <v>442296.7</v>
      </c>
    </row>
    <row r="49" spans="3:5" x14ac:dyDescent="0.25">
      <c r="C49" s="17"/>
      <c r="D49" s="1">
        <v>48</v>
      </c>
      <c r="E49" s="16">
        <v>449125.80000000005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D111-9A0A-48D6-AC73-AB19DE0A1192}">
  <dimension ref="B1:S94"/>
  <sheetViews>
    <sheetView tabSelected="1" zoomScale="81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" sqref="D2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10.85546875" customWidth="1"/>
    <col min="6" max="6" width="21" customWidth="1"/>
    <col min="7" max="7" width="14.7109375" customWidth="1"/>
  </cols>
  <sheetData>
    <row r="1" spans="2:6" x14ac:dyDescent="0.25">
      <c r="B1" s="14" t="s">
        <v>0</v>
      </c>
      <c r="C1" s="14" t="s">
        <v>1</v>
      </c>
      <c r="D1" s="11" t="s">
        <v>5</v>
      </c>
      <c r="E1" t="s">
        <v>2</v>
      </c>
    </row>
    <row r="2" spans="2:6" x14ac:dyDescent="0.25">
      <c r="B2" s="12">
        <v>2015</v>
      </c>
      <c r="C2" s="1">
        <v>1</v>
      </c>
      <c r="D2" s="2">
        <v>100000</v>
      </c>
      <c r="E2" t="s">
        <v>3</v>
      </c>
    </row>
    <row r="3" spans="2:6" x14ac:dyDescent="0.25">
      <c r="B3" s="12"/>
      <c r="C3" s="1">
        <v>2</v>
      </c>
      <c r="D3" s="2">
        <v>110000</v>
      </c>
      <c r="E3" s="3">
        <f>((D3-D2)/D2)*100</f>
        <v>10</v>
      </c>
      <c r="F3" t="s">
        <v>3</v>
      </c>
    </row>
    <row r="4" spans="2:6" x14ac:dyDescent="0.25">
      <c r="B4" s="12"/>
      <c r="C4" s="1">
        <v>3</v>
      </c>
      <c r="D4" s="2">
        <v>125000</v>
      </c>
      <c r="E4" s="3">
        <f t="shared" ref="E4:E37" si="0">((D4-D3)/D3)*100</f>
        <v>13.636363636363635</v>
      </c>
    </row>
    <row r="5" spans="2:6" x14ac:dyDescent="0.25">
      <c r="B5" s="12"/>
      <c r="C5" s="1">
        <v>4</v>
      </c>
      <c r="D5" s="2">
        <v>128000</v>
      </c>
      <c r="E5" s="3">
        <f t="shared" si="0"/>
        <v>2.4</v>
      </c>
    </row>
    <row r="6" spans="2:6" x14ac:dyDescent="0.25">
      <c r="B6" s="12"/>
      <c r="C6" s="1">
        <v>5</v>
      </c>
      <c r="D6" s="2">
        <v>132000</v>
      </c>
      <c r="E6" s="3">
        <f t="shared" si="0"/>
        <v>3.125</v>
      </c>
    </row>
    <row r="7" spans="2:6" x14ac:dyDescent="0.25">
      <c r="B7" s="12"/>
      <c r="C7" s="1">
        <v>6</v>
      </c>
      <c r="D7" s="2">
        <v>136000</v>
      </c>
      <c r="E7" s="3">
        <f t="shared" si="0"/>
        <v>3.0303030303030303</v>
      </c>
    </row>
    <row r="8" spans="2:6" x14ac:dyDescent="0.25">
      <c r="B8" s="12"/>
      <c r="C8" s="1">
        <v>7</v>
      </c>
      <c r="D8" s="2">
        <v>139000</v>
      </c>
      <c r="E8" s="3">
        <f t="shared" si="0"/>
        <v>2.2058823529411766</v>
      </c>
    </row>
    <row r="9" spans="2:6" x14ac:dyDescent="0.25">
      <c r="B9" s="12"/>
      <c r="C9" s="1">
        <v>8</v>
      </c>
      <c r="D9" s="2">
        <v>200000</v>
      </c>
      <c r="E9" s="3">
        <f t="shared" si="0"/>
        <v>43.884892086330936</v>
      </c>
    </row>
    <row r="10" spans="2:6" x14ac:dyDescent="0.25">
      <c r="B10" s="12"/>
      <c r="C10" s="1">
        <v>9</v>
      </c>
      <c r="D10" s="2">
        <v>220000</v>
      </c>
      <c r="E10" s="3">
        <f t="shared" si="0"/>
        <v>10</v>
      </c>
    </row>
    <row r="11" spans="2:6" x14ac:dyDescent="0.25">
      <c r="B11" s="12"/>
      <c r="C11" s="1">
        <v>10</v>
      </c>
      <c r="D11" s="2">
        <v>221000</v>
      </c>
      <c r="E11" s="3">
        <f t="shared" si="0"/>
        <v>0.45454545454545453</v>
      </c>
    </row>
    <row r="12" spans="2:6" x14ac:dyDescent="0.25">
      <c r="B12" s="12"/>
      <c r="C12" s="1">
        <v>11</v>
      </c>
      <c r="D12" s="2">
        <v>225000</v>
      </c>
      <c r="E12" s="3">
        <f t="shared" si="0"/>
        <v>1.809954751131222</v>
      </c>
    </row>
    <row r="13" spans="2:6" x14ac:dyDescent="0.25">
      <c r="B13" s="12"/>
      <c r="C13" s="1">
        <v>12</v>
      </c>
      <c r="D13" s="2">
        <v>229000</v>
      </c>
      <c r="E13" s="3">
        <f t="shared" si="0"/>
        <v>1.7777777777777777</v>
      </c>
    </row>
    <row r="14" spans="2:6" x14ac:dyDescent="0.25">
      <c r="B14" s="12">
        <v>2016</v>
      </c>
      <c r="C14" s="1">
        <v>13</v>
      </c>
      <c r="D14" s="2">
        <v>217000</v>
      </c>
      <c r="E14" s="3">
        <f t="shared" si="0"/>
        <v>-5.2401746724890828</v>
      </c>
    </row>
    <row r="15" spans="2:6" x14ac:dyDescent="0.25">
      <c r="B15" s="12"/>
      <c r="C15" s="1">
        <v>14</v>
      </c>
      <c r="D15" s="2">
        <v>221000</v>
      </c>
      <c r="E15" s="3">
        <f t="shared" si="0"/>
        <v>1.8433179723502304</v>
      </c>
    </row>
    <row r="16" spans="2:6" x14ac:dyDescent="0.25">
      <c r="B16" s="12"/>
      <c r="C16" s="1">
        <v>15</v>
      </c>
      <c r="D16" s="2">
        <v>229000</v>
      </c>
      <c r="E16" s="3">
        <f t="shared" si="0"/>
        <v>3.6199095022624439</v>
      </c>
    </row>
    <row r="17" spans="2:5" x14ac:dyDescent="0.25">
      <c r="B17" s="12"/>
      <c r="C17" s="1">
        <v>16</v>
      </c>
      <c r="D17" s="2">
        <v>245000</v>
      </c>
      <c r="E17" s="3">
        <f t="shared" si="0"/>
        <v>6.9868995633187767</v>
      </c>
    </row>
    <row r="18" spans="2:5" x14ac:dyDescent="0.25">
      <c r="B18" s="12"/>
      <c r="C18" s="1">
        <v>17</v>
      </c>
      <c r="D18" s="2">
        <v>251000</v>
      </c>
      <c r="E18" s="3">
        <f t="shared" si="0"/>
        <v>2.4489795918367347</v>
      </c>
    </row>
    <row r="19" spans="2:5" x14ac:dyDescent="0.25">
      <c r="B19" s="12"/>
      <c r="C19" s="1">
        <v>18</v>
      </c>
      <c r="D19" s="2">
        <v>255000</v>
      </c>
      <c r="E19" s="3">
        <f t="shared" si="0"/>
        <v>1.593625498007968</v>
      </c>
    </row>
    <row r="20" spans="2:5" x14ac:dyDescent="0.25">
      <c r="B20" s="12"/>
      <c r="C20" s="1">
        <v>19</v>
      </c>
      <c r="D20" s="2">
        <v>267000</v>
      </c>
      <c r="E20" s="3">
        <f t="shared" si="0"/>
        <v>4.7058823529411766</v>
      </c>
    </row>
    <row r="21" spans="2:5" x14ac:dyDescent="0.25">
      <c r="B21" s="12"/>
      <c r="C21" s="1">
        <v>20</v>
      </c>
      <c r="D21" s="2">
        <v>271000</v>
      </c>
      <c r="E21" s="3">
        <f t="shared" si="0"/>
        <v>1.4981273408239701</v>
      </c>
    </row>
    <row r="22" spans="2:5" x14ac:dyDescent="0.25">
      <c r="B22" s="12"/>
      <c r="C22" s="1">
        <v>21</v>
      </c>
      <c r="D22" s="2">
        <v>280000</v>
      </c>
      <c r="E22" s="3">
        <f t="shared" si="0"/>
        <v>3.3210332103321036</v>
      </c>
    </row>
    <row r="23" spans="2:5" x14ac:dyDescent="0.25">
      <c r="B23" s="12"/>
      <c r="C23" s="1">
        <v>22</v>
      </c>
      <c r="D23" s="2">
        <v>289000</v>
      </c>
      <c r="E23" s="3">
        <f t="shared" si="0"/>
        <v>3.214285714285714</v>
      </c>
    </row>
    <row r="24" spans="2:5" x14ac:dyDescent="0.25">
      <c r="B24" s="12"/>
      <c r="C24" s="1">
        <v>23</v>
      </c>
      <c r="D24" s="2">
        <v>294000</v>
      </c>
      <c r="E24" s="3">
        <f t="shared" si="0"/>
        <v>1.7301038062283738</v>
      </c>
    </row>
    <row r="25" spans="2:5" x14ac:dyDescent="0.25">
      <c r="B25" s="12">
        <v>2017</v>
      </c>
      <c r="C25" s="1">
        <v>24</v>
      </c>
      <c r="D25" s="2">
        <v>299000</v>
      </c>
      <c r="E25" s="3">
        <f t="shared" si="0"/>
        <v>1.7006802721088436</v>
      </c>
    </row>
    <row r="26" spans="2:5" x14ac:dyDescent="0.25">
      <c r="B26" s="12"/>
      <c r="C26" s="1">
        <v>25</v>
      </c>
      <c r="D26" s="2">
        <v>281000</v>
      </c>
      <c r="E26" s="3">
        <f t="shared" si="0"/>
        <v>-6.0200668896321075</v>
      </c>
    </row>
    <row r="27" spans="2:5" x14ac:dyDescent="0.25">
      <c r="B27" s="12"/>
      <c r="C27" s="1">
        <v>26</v>
      </c>
      <c r="D27" s="2">
        <v>288000</v>
      </c>
      <c r="E27" s="3">
        <f t="shared" si="0"/>
        <v>2.4911032028469751</v>
      </c>
    </row>
    <row r="28" spans="2:5" x14ac:dyDescent="0.25">
      <c r="B28" s="12"/>
      <c r="C28" s="1">
        <v>27</v>
      </c>
      <c r="D28" s="2">
        <v>295000</v>
      </c>
      <c r="E28" s="3">
        <f t="shared" si="0"/>
        <v>2.4305555555555558</v>
      </c>
    </row>
    <row r="29" spans="2:5" x14ac:dyDescent="0.25">
      <c r="B29" s="12"/>
      <c r="C29" s="1">
        <v>28</v>
      </c>
      <c r="D29" s="2">
        <v>299000</v>
      </c>
      <c r="E29" s="3">
        <f t="shared" si="0"/>
        <v>1.3559322033898304</v>
      </c>
    </row>
    <row r="30" spans="2:5" x14ac:dyDescent="0.25">
      <c r="B30" s="12"/>
      <c r="C30" s="1">
        <v>29</v>
      </c>
      <c r="D30" s="2">
        <v>302000</v>
      </c>
      <c r="E30" s="3">
        <f t="shared" si="0"/>
        <v>1.0033444816053512</v>
      </c>
    </row>
    <row r="31" spans="2:5" x14ac:dyDescent="0.25">
      <c r="B31" s="12"/>
      <c r="C31" s="1">
        <v>30</v>
      </c>
      <c r="D31" s="2">
        <v>311000</v>
      </c>
      <c r="E31" s="3">
        <f t="shared" si="0"/>
        <v>2.9801324503311259</v>
      </c>
    </row>
    <row r="32" spans="2:5" x14ac:dyDescent="0.25">
      <c r="B32" s="12"/>
      <c r="C32" s="1">
        <v>31</v>
      </c>
      <c r="D32" s="2">
        <v>320000</v>
      </c>
      <c r="E32" s="3">
        <f t="shared" si="0"/>
        <v>2.8938906752411575</v>
      </c>
    </row>
    <row r="33" spans="2:5" x14ac:dyDescent="0.25">
      <c r="B33" s="12"/>
      <c r="C33" s="1">
        <v>32</v>
      </c>
      <c r="D33" s="2">
        <v>331000</v>
      </c>
      <c r="E33" s="3">
        <f t="shared" si="0"/>
        <v>3.4375000000000004</v>
      </c>
    </row>
    <row r="34" spans="2:5" x14ac:dyDescent="0.25">
      <c r="B34" s="12"/>
      <c r="C34" s="1">
        <v>33</v>
      </c>
      <c r="D34" s="2">
        <v>338000</v>
      </c>
      <c r="E34" s="3">
        <f t="shared" si="0"/>
        <v>2.1148036253776437</v>
      </c>
    </row>
    <row r="35" spans="2:5" x14ac:dyDescent="0.25">
      <c r="B35" s="12"/>
      <c r="C35" s="1">
        <v>34</v>
      </c>
      <c r="D35" s="2">
        <v>342000</v>
      </c>
      <c r="E35" s="3">
        <f t="shared" si="0"/>
        <v>1.1834319526627219</v>
      </c>
    </row>
    <row r="36" spans="2:5" x14ac:dyDescent="0.25">
      <c r="B36" s="12"/>
      <c r="C36" s="1">
        <v>35</v>
      </c>
      <c r="D36" s="2">
        <v>356000</v>
      </c>
      <c r="E36" s="3">
        <f t="shared" si="0"/>
        <v>4.0935672514619883</v>
      </c>
    </row>
    <row r="37" spans="2:5" x14ac:dyDescent="0.25">
      <c r="B37" s="12"/>
      <c r="C37" s="1">
        <v>36</v>
      </c>
      <c r="D37" s="2">
        <v>370000</v>
      </c>
      <c r="E37" s="3">
        <f t="shared" si="0"/>
        <v>3.9325842696629212</v>
      </c>
    </row>
    <row r="38" spans="2:5" x14ac:dyDescent="0.25">
      <c r="B38" s="13">
        <v>2018</v>
      </c>
      <c r="C38" s="1">
        <v>37</v>
      </c>
      <c r="D38" s="4">
        <f>D37*(1+$E$38/100)</f>
        <v>384973.81204781838</v>
      </c>
      <c r="E38" s="5">
        <f>SUM(E3:E37)/35</f>
        <v>4.0469762291401032</v>
      </c>
    </row>
    <row r="39" spans="2:5" x14ac:dyDescent="0.25">
      <c r="B39" s="13"/>
      <c r="C39" s="1">
        <v>38</v>
      </c>
      <c r="D39" s="4">
        <f>D38*(1+$E$38/100)</f>
        <v>400553.61070980807</v>
      </c>
    </row>
    <row r="40" spans="2:5" x14ac:dyDescent="0.25">
      <c r="B40" s="13"/>
      <c r="C40" s="1">
        <v>39</v>
      </c>
      <c r="D40" s="4">
        <f>D39*(1+$E$38/100)</f>
        <v>416763.92012019636</v>
      </c>
    </row>
    <row r="41" spans="2:5" x14ac:dyDescent="0.25">
      <c r="B41" s="13"/>
      <c r="C41" s="1">
        <v>40</v>
      </c>
      <c r="D41" s="4">
        <f>D40*(1+$E$38/100)</f>
        <v>433630.2568990931</v>
      </c>
    </row>
    <row r="42" spans="2:5" x14ac:dyDescent="0.25">
      <c r="B42" s="13"/>
      <c r="C42" s="1">
        <v>41</v>
      </c>
      <c r="D42" s="4">
        <f>D41*(1+$E$38/100)</f>
        <v>451179.17031815852</v>
      </c>
    </row>
    <row r="43" spans="2:5" x14ac:dyDescent="0.25">
      <c r="B43" s="13"/>
      <c r="C43" s="1">
        <v>42</v>
      </c>
      <c r="D43" s="4">
        <f>D42*(1+$E$38/100)</f>
        <v>469438.28409176593</v>
      </c>
    </row>
    <row r="44" spans="2:5" x14ac:dyDescent="0.25">
      <c r="B44" s="13"/>
      <c r="C44" s="1">
        <v>43</v>
      </c>
      <c r="D44" s="4">
        <f>D43*(1+$E$38/100)</f>
        <v>488436.33985944284</v>
      </c>
    </row>
    <row r="45" spans="2:5" x14ac:dyDescent="0.25">
      <c r="B45" s="13"/>
      <c r="C45" s="1">
        <v>44</v>
      </c>
      <c r="D45" s="4">
        <f>D44*(1+$E$38/100)</f>
        <v>508203.24242803646</v>
      </c>
    </row>
    <row r="46" spans="2:5" x14ac:dyDescent="0.25">
      <c r="B46" s="13"/>
      <c r="C46" s="1">
        <v>45</v>
      </c>
      <c r="D46" s="4">
        <f>D45*(1+$E$38/100)</f>
        <v>528770.10684481834</v>
      </c>
    </row>
    <row r="47" spans="2:5" x14ac:dyDescent="0.25">
      <c r="B47" s="13"/>
      <c r="C47" s="1">
        <v>46</v>
      </c>
      <c r="D47" s="4">
        <f>D46*(1+$E$38/100)</f>
        <v>550169.30737562687</v>
      </c>
    </row>
    <row r="48" spans="2:5" x14ac:dyDescent="0.25">
      <c r="B48" s="13"/>
      <c r="C48" s="1">
        <v>47</v>
      </c>
      <c r="D48" s="4">
        <f>D47*(1+$E$38/100)</f>
        <v>572434.52846514317</v>
      </c>
      <c r="E48" s="6"/>
    </row>
    <row r="49" spans="2:19" x14ac:dyDescent="0.25">
      <c r="B49" s="13"/>
      <c r="C49" s="1">
        <v>48</v>
      </c>
      <c r="D49" s="4">
        <f>D48*(1+$E$38/100)</f>
        <v>595600.8177595177</v>
      </c>
      <c r="F49" s="6"/>
      <c r="G49" s="6"/>
    </row>
    <row r="50" spans="2:19" x14ac:dyDescent="0.25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x14ac:dyDescent="0.25">
      <c r="D51" s="6"/>
      <c r="S51" s="7"/>
    </row>
    <row r="53" spans="2:19" x14ac:dyDescent="0.25">
      <c r="D53" s="6"/>
    </row>
    <row r="54" spans="2:19" x14ac:dyDescent="0.25">
      <c r="D54" s="6"/>
    </row>
    <row r="55" spans="2:19" x14ac:dyDescent="0.25">
      <c r="D55" s="6"/>
    </row>
    <row r="56" spans="2:19" x14ac:dyDescent="0.25">
      <c r="D56" s="6"/>
    </row>
    <row r="57" spans="2:19" x14ac:dyDescent="0.25">
      <c r="D57" s="6"/>
    </row>
    <row r="58" spans="2:19" x14ac:dyDescent="0.25">
      <c r="D58" s="6"/>
    </row>
    <row r="59" spans="2:19" x14ac:dyDescent="0.25">
      <c r="D59" s="6"/>
    </row>
    <row r="60" spans="2:19" x14ac:dyDescent="0.25">
      <c r="D60" s="6"/>
    </row>
    <row r="61" spans="2:19" x14ac:dyDescent="0.25">
      <c r="D61" s="6"/>
    </row>
    <row r="62" spans="2:19" x14ac:dyDescent="0.25">
      <c r="D62" s="6"/>
    </row>
    <row r="63" spans="2:19" x14ac:dyDescent="0.25">
      <c r="D63" s="6"/>
    </row>
    <row r="64" spans="2:19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960D-0DFE-43C2-84D9-D5E71D7BD26E}">
  <dimension ref="B1:T9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" sqref="D2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20.7109375" customWidth="1"/>
    <col min="6" max="6" width="18.28515625" customWidth="1"/>
    <col min="7" max="7" width="11.42578125" customWidth="1"/>
  </cols>
  <sheetData>
    <row r="1" spans="2:7" x14ac:dyDescent="0.25">
      <c r="B1" s="10" t="s">
        <v>0</v>
      </c>
      <c r="C1" s="10" t="s">
        <v>1</v>
      </c>
      <c r="D1" s="11" t="s">
        <v>5</v>
      </c>
      <c r="E1" t="s">
        <v>4</v>
      </c>
    </row>
    <row r="2" spans="2:7" x14ac:dyDescent="0.25">
      <c r="B2" s="12">
        <v>2015</v>
      </c>
      <c r="C2" s="1">
        <v>1</v>
      </c>
      <c r="D2" s="2">
        <v>100000</v>
      </c>
      <c r="E2" t="s">
        <v>3</v>
      </c>
    </row>
    <row r="3" spans="2:7" x14ac:dyDescent="0.25">
      <c r="B3" s="12"/>
      <c r="C3" s="1">
        <v>2</v>
      </c>
      <c r="D3" s="2">
        <v>110000</v>
      </c>
      <c r="E3" s="2">
        <f t="shared" ref="E3:E37" si="0">D3-D2</f>
        <v>10000</v>
      </c>
      <c r="G3" s="2"/>
    </row>
    <row r="4" spans="2:7" x14ac:dyDescent="0.25">
      <c r="B4" s="12"/>
      <c r="C4" s="1">
        <v>3</v>
      </c>
      <c r="D4" s="2">
        <v>125000</v>
      </c>
      <c r="E4" s="2">
        <f t="shared" si="0"/>
        <v>15000</v>
      </c>
    </row>
    <row r="5" spans="2:7" x14ac:dyDescent="0.25">
      <c r="B5" s="12"/>
      <c r="C5" s="1">
        <v>4</v>
      </c>
      <c r="D5" s="2">
        <v>128000</v>
      </c>
      <c r="E5" s="2">
        <f t="shared" si="0"/>
        <v>3000</v>
      </c>
    </row>
    <row r="6" spans="2:7" x14ac:dyDescent="0.25">
      <c r="B6" s="12"/>
      <c r="C6" s="1">
        <v>5</v>
      </c>
      <c r="D6" s="2">
        <v>132000</v>
      </c>
      <c r="E6" s="2">
        <f t="shared" si="0"/>
        <v>4000</v>
      </c>
    </row>
    <row r="7" spans="2:7" x14ac:dyDescent="0.25">
      <c r="B7" s="12"/>
      <c r="C7" s="1">
        <v>6</v>
      </c>
      <c r="D7" s="2">
        <v>136000</v>
      </c>
      <c r="E7" s="2">
        <f t="shared" si="0"/>
        <v>4000</v>
      </c>
    </row>
    <row r="8" spans="2:7" x14ac:dyDescent="0.25">
      <c r="B8" s="12"/>
      <c r="C8" s="1">
        <v>7</v>
      </c>
      <c r="D8" s="2">
        <v>139000</v>
      </c>
      <c r="E8" s="2">
        <f t="shared" si="0"/>
        <v>3000</v>
      </c>
    </row>
    <row r="9" spans="2:7" x14ac:dyDescent="0.25">
      <c r="B9" s="12"/>
      <c r="C9" s="1">
        <v>8</v>
      </c>
      <c r="D9" s="2">
        <v>200000</v>
      </c>
      <c r="E9" s="2">
        <f t="shared" si="0"/>
        <v>61000</v>
      </c>
    </row>
    <row r="10" spans="2:7" x14ac:dyDescent="0.25">
      <c r="B10" s="12"/>
      <c r="C10" s="1">
        <v>9</v>
      </c>
      <c r="D10" s="2">
        <v>220000</v>
      </c>
      <c r="E10" s="2">
        <f t="shared" si="0"/>
        <v>20000</v>
      </c>
    </row>
    <row r="11" spans="2:7" x14ac:dyDescent="0.25">
      <c r="B11" s="12"/>
      <c r="C11" s="1">
        <v>10</v>
      </c>
      <c r="D11" s="2">
        <v>221000</v>
      </c>
      <c r="E11" s="2">
        <f t="shared" si="0"/>
        <v>1000</v>
      </c>
    </row>
    <row r="12" spans="2:7" x14ac:dyDescent="0.25">
      <c r="B12" s="12"/>
      <c r="C12" s="1">
        <v>11</v>
      </c>
      <c r="D12" s="2">
        <v>225000</v>
      </c>
      <c r="E12" s="2">
        <f t="shared" si="0"/>
        <v>4000</v>
      </c>
    </row>
    <row r="13" spans="2:7" x14ac:dyDescent="0.25">
      <c r="B13" s="12"/>
      <c r="C13" s="1">
        <v>12</v>
      </c>
      <c r="D13" s="2">
        <v>229000</v>
      </c>
      <c r="E13" s="2">
        <f t="shared" si="0"/>
        <v>4000</v>
      </c>
    </row>
    <row r="14" spans="2:7" x14ac:dyDescent="0.25">
      <c r="B14" s="12">
        <v>2016</v>
      </c>
      <c r="C14" s="1">
        <v>13</v>
      </c>
      <c r="D14" s="2">
        <v>217000</v>
      </c>
      <c r="E14" s="2">
        <f t="shared" si="0"/>
        <v>-12000</v>
      </c>
    </row>
    <row r="15" spans="2:7" x14ac:dyDescent="0.25">
      <c r="B15" s="12"/>
      <c r="C15" s="1">
        <v>14</v>
      </c>
      <c r="D15" s="2">
        <v>221000</v>
      </c>
      <c r="E15" s="2">
        <f t="shared" si="0"/>
        <v>4000</v>
      </c>
    </row>
    <row r="16" spans="2:7" x14ac:dyDescent="0.25">
      <c r="B16" s="12"/>
      <c r="C16" s="1">
        <v>15</v>
      </c>
      <c r="D16" s="2">
        <v>229000</v>
      </c>
      <c r="E16" s="2">
        <f t="shared" si="0"/>
        <v>8000</v>
      </c>
    </row>
    <row r="17" spans="2:5" x14ac:dyDescent="0.25">
      <c r="B17" s="12"/>
      <c r="C17" s="1">
        <v>16</v>
      </c>
      <c r="D17" s="2">
        <v>245000</v>
      </c>
      <c r="E17" s="2">
        <f t="shared" si="0"/>
        <v>16000</v>
      </c>
    </row>
    <row r="18" spans="2:5" x14ac:dyDescent="0.25">
      <c r="B18" s="12"/>
      <c r="C18" s="1">
        <v>17</v>
      </c>
      <c r="D18" s="2">
        <v>251000</v>
      </c>
      <c r="E18" s="2">
        <f t="shared" si="0"/>
        <v>6000</v>
      </c>
    </row>
    <row r="19" spans="2:5" x14ac:dyDescent="0.25">
      <c r="B19" s="12"/>
      <c r="C19" s="1">
        <v>18</v>
      </c>
      <c r="D19" s="2">
        <v>255000</v>
      </c>
      <c r="E19" s="2">
        <f t="shared" si="0"/>
        <v>4000</v>
      </c>
    </row>
    <row r="20" spans="2:5" x14ac:dyDescent="0.25">
      <c r="B20" s="12"/>
      <c r="C20" s="1">
        <v>19</v>
      </c>
      <c r="D20" s="2">
        <v>267000</v>
      </c>
      <c r="E20" s="2">
        <f t="shared" si="0"/>
        <v>12000</v>
      </c>
    </row>
    <row r="21" spans="2:5" x14ac:dyDescent="0.25">
      <c r="B21" s="12"/>
      <c r="C21" s="1">
        <v>20</v>
      </c>
      <c r="D21" s="2">
        <v>271000</v>
      </c>
      <c r="E21" s="2">
        <f t="shared" si="0"/>
        <v>4000</v>
      </c>
    </row>
    <row r="22" spans="2:5" x14ac:dyDescent="0.25">
      <c r="B22" s="12"/>
      <c r="C22" s="1">
        <v>21</v>
      </c>
      <c r="D22" s="2">
        <v>280000</v>
      </c>
      <c r="E22" s="2">
        <f t="shared" si="0"/>
        <v>9000</v>
      </c>
    </row>
    <row r="23" spans="2:5" x14ac:dyDescent="0.25">
      <c r="B23" s="12"/>
      <c r="C23" s="1">
        <v>22</v>
      </c>
      <c r="D23" s="2">
        <v>289000</v>
      </c>
      <c r="E23" s="2">
        <f t="shared" si="0"/>
        <v>9000</v>
      </c>
    </row>
    <row r="24" spans="2:5" x14ac:dyDescent="0.25">
      <c r="B24" s="12"/>
      <c r="C24" s="1">
        <v>23</v>
      </c>
      <c r="D24" s="2">
        <v>294000</v>
      </c>
      <c r="E24" s="2">
        <f t="shared" si="0"/>
        <v>5000</v>
      </c>
    </row>
    <row r="25" spans="2:5" x14ac:dyDescent="0.25">
      <c r="B25" s="12">
        <v>2017</v>
      </c>
      <c r="C25" s="1">
        <v>24</v>
      </c>
      <c r="D25" s="2">
        <v>299000</v>
      </c>
      <c r="E25" s="2">
        <f t="shared" si="0"/>
        <v>5000</v>
      </c>
    </row>
    <row r="26" spans="2:5" x14ac:dyDescent="0.25">
      <c r="B26" s="12"/>
      <c r="C26" s="1">
        <v>25</v>
      </c>
      <c r="D26" s="2">
        <v>281000</v>
      </c>
      <c r="E26" s="2">
        <f t="shared" si="0"/>
        <v>-18000</v>
      </c>
    </row>
    <row r="27" spans="2:5" x14ac:dyDescent="0.25">
      <c r="B27" s="12"/>
      <c r="C27" s="1">
        <v>26</v>
      </c>
      <c r="D27" s="2">
        <v>288000</v>
      </c>
      <c r="E27" s="2">
        <f t="shared" si="0"/>
        <v>7000</v>
      </c>
    </row>
    <row r="28" spans="2:5" x14ac:dyDescent="0.25">
      <c r="B28" s="12"/>
      <c r="C28" s="1">
        <v>27</v>
      </c>
      <c r="D28" s="2">
        <v>295000</v>
      </c>
      <c r="E28" s="2">
        <f t="shared" si="0"/>
        <v>7000</v>
      </c>
    </row>
    <row r="29" spans="2:5" x14ac:dyDescent="0.25">
      <c r="B29" s="12"/>
      <c r="C29" s="1">
        <v>28</v>
      </c>
      <c r="D29" s="2">
        <v>299000</v>
      </c>
      <c r="E29" s="2">
        <f t="shared" si="0"/>
        <v>4000</v>
      </c>
    </row>
    <row r="30" spans="2:5" x14ac:dyDescent="0.25">
      <c r="B30" s="12"/>
      <c r="C30" s="1">
        <v>29</v>
      </c>
      <c r="D30" s="2">
        <v>302000</v>
      </c>
      <c r="E30" s="2">
        <f t="shared" si="0"/>
        <v>3000</v>
      </c>
    </row>
    <row r="31" spans="2:5" x14ac:dyDescent="0.25">
      <c r="B31" s="12"/>
      <c r="C31" s="1">
        <v>30</v>
      </c>
      <c r="D31" s="2">
        <v>311000</v>
      </c>
      <c r="E31" s="2">
        <f t="shared" si="0"/>
        <v>9000</v>
      </c>
    </row>
    <row r="32" spans="2:5" x14ac:dyDescent="0.25">
      <c r="B32" s="12"/>
      <c r="C32" s="1">
        <v>31</v>
      </c>
      <c r="D32" s="2">
        <v>320000</v>
      </c>
      <c r="E32" s="2">
        <f t="shared" si="0"/>
        <v>9000</v>
      </c>
    </row>
    <row r="33" spans="2:20" x14ac:dyDescent="0.25">
      <c r="B33" s="12"/>
      <c r="C33" s="1">
        <v>32</v>
      </c>
      <c r="D33" s="2">
        <v>331000</v>
      </c>
      <c r="E33" s="2">
        <f t="shared" si="0"/>
        <v>11000</v>
      </c>
    </row>
    <row r="34" spans="2:20" x14ac:dyDescent="0.25">
      <c r="B34" s="12"/>
      <c r="C34" s="1">
        <v>33</v>
      </c>
      <c r="D34" s="2">
        <v>338000</v>
      </c>
      <c r="E34" s="2">
        <f t="shared" si="0"/>
        <v>7000</v>
      </c>
    </row>
    <row r="35" spans="2:20" x14ac:dyDescent="0.25">
      <c r="B35" s="12"/>
      <c r="C35" s="1">
        <v>34</v>
      </c>
      <c r="D35" s="2">
        <v>342000</v>
      </c>
      <c r="E35" s="2">
        <f t="shared" si="0"/>
        <v>4000</v>
      </c>
    </row>
    <row r="36" spans="2:20" x14ac:dyDescent="0.25">
      <c r="B36" s="12"/>
      <c r="C36" s="1">
        <v>35</v>
      </c>
      <c r="D36" s="2">
        <v>356000</v>
      </c>
      <c r="E36" s="2">
        <f t="shared" si="0"/>
        <v>14000</v>
      </c>
    </row>
    <row r="37" spans="2:20" x14ac:dyDescent="0.25">
      <c r="B37" s="12"/>
      <c r="C37" s="1">
        <v>36</v>
      </c>
      <c r="D37" s="2">
        <v>370000</v>
      </c>
      <c r="E37" s="2">
        <f t="shared" si="0"/>
        <v>14000</v>
      </c>
    </row>
    <row r="38" spans="2:20" x14ac:dyDescent="0.25">
      <c r="B38" s="15">
        <v>2018</v>
      </c>
      <c r="C38" s="1">
        <v>37</v>
      </c>
      <c r="D38" s="8">
        <f>D37+$E$38</f>
        <v>377714.28571428574</v>
      </c>
      <c r="E38" s="9">
        <f>SUM(E3:E37)/35</f>
        <v>7714.2857142857147</v>
      </c>
    </row>
    <row r="39" spans="2:20" x14ac:dyDescent="0.25">
      <c r="B39" s="15"/>
      <c r="C39" s="1">
        <v>38</v>
      </c>
      <c r="D39" s="8">
        <f>D38+$E$38</f>
        <v>385428.57142857148</v>
      </c>
    </row>
    <row r="40" spans="2:20" x14ac:dyDescent="0.25">
      <c r="B40" s="15"/>
      <c r="C40" s="1">
        <v>39</v>
      </c>
      <c r="D40" s="8">
        <f>D39+$E$38</f>
        <v>393142.85714285722</v>
      </c>
    </row>
    <row r="41" spans="2:20" x14ac:dyDescent="0.25">
      <c r="B41" s="15"/>
      <c r="C41" s="1">
        <v>40</v>
      </c>
      <c r="D41" s="8">
        <f>D40+$E$38</f>
        <v>400857.14285714296</v>
      </c>
      <c r="T41" s="6"/>
    </row>
    <row r="42" spans="2:20" x14ac:dyDescent="0.25">
      <c r="B42" s="15"/>
      <c r="C42" s="1">
        <v>41</v>
      </c>
      <c r="D42" s="8">
        <f>D41+$E$38</f>
        <v>408571.4285714287</v>
      </c>
    </row>
    <row r="43" spans="2:20" x14ac:dyDescent="0.25">
      <c r="B43" s="15"/>
      <c r="C43" s="1">
        <v>42</v>
      </c>
      <c r="D43" s="8">
        <f>D42+$E$38</f>
        <v>416285.71428571444</v>
      </c>
    </row>
    <row r="44" spans="2:20" x14ac:dyDescent="0.25">
      <c r="B44" s="15"/>
      <c r="C44" s="1">
        <v>43</v>
      </c>
      <c r="D44" s="8">
        <f>D43+$E$38</f>
        <v>424000.00000000017</v>
      </c>
    </row>
    <row r="45" spans="2:20" x14ac:dyDescent="0.25">
      <c r="B45" s="15"/>
      <c r="C45" s="1">
        <v>44</v>
      </c>
      <c r="D45" s="8">
        <f>D44+$E$38</f>
        <v>431714.28571428591</v>
      </c>
    </row>
    <row r="46" spans="2:20" x14ac:dyDescent="0.25">
      <c r="B46" s="15"/>
      <c r="C46" s="1">
        <v>45</v>
      </c>
      <c r="D46" s="8">
        <f>D45+$E$38</f>
        <v>439428.57142857165</v>
      </c>
    </row>
    <row r="47" spans="2:20" x14ac:dyDescent="0.25">
      <c r="B47" s="15"/>
      <c r="C47" s="1">
        <v>46</v>
      </c>
      <c r="D47" s="8">
        <f>D46+$E$38</f>
        <v>447142.85714285739</v>
      </c>
    </row>
    <row r="48" spans="2:20" x14ac:dyDescent="0.25">
      <c r="B48" s="15"/>
      <c r="C48" s="1">
        <v>47</v>
      </c>
      <c r="D48" s="8">
        <f>D47+$E$38</f>
        <v>454857.14285714313</v>
      </c>
      <c r="E48" s="6"/>
    </row>
    <row r="49" spans="2:20" x14ac:dyDescent="0.25">
      <c r="B49" s="15"/>
      <c r="C49" s="1">
        <v>48</v>
      </c>
      <c r="D49" s="8">
        <f>D48+$E$38</f>
        <v>462571.42857142887</v>
      </c>
    </row>
    <row r="50" spans="2:20" x14ac:dyDescent="0.25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20" x14ac:dyDescent="0.25">
      <c r="T51" s="7"/>
    </row>
    <row r="52" spans="2:20" x14ac:dyDescent="0.25">
      <c r="D52" s="6"/>
    </row>
    <row r="53" spans="2:20" x14ac:dyDescent="0.25">
      <c r="D53" s="6"/>
    </row>
    <row r="54" spans="2:20" x14ac:dyDescent="0.25">
      <c r="D54" s="6"/>
    </row>
    <row r="55" spans="2:20" x14ac:dyDescent="0.25">
      <c r="D55" s="6"/>
    </row>
    <row r="56" spans="2:20" x14ac:dyDescent="0.25">
      <c r="D56" s="6"/>
    </row>
    <row r="57" spans="2:20" x14ac:dyDescent="0.25">
      <c r="D57" s="6"/>
    </row>
    <row r="58" spans="2:20" x14ac:dyDescent="0.25">
      <c r="D58" s="6"/>
    </row>
    <row r="59" spans="2:20" x14ac:dyDescent="0.25">
      <c r="D59" s="6"/>
    </row>
    <row r="60" spans="2:20" x14ac:dyDescent="0.25">
      <c r="D60" s="6"/>
    </row>
    <row r="61" spans="2:20" x14ac:dyDescent="0.25">
      <c r="D61" s="6"/>
    </row>
    <row r="62" spans="2:20" x14ac:dyDescent="0.25">
      <c r="D62" s="6"/>
    </row>
    <row r="63" spans="2:20" x14ac:dyDescent="0.25">
      <c r="D63" s="6"/>
    </row>
    <row r="64" spans="2:20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minimos cuadrados</vt:lpstr>
      <vt:lpstr>valor incremental</vt:lpstr>
      <vt:lpstr>valor absoluto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Cuellar</dc:creator>
  <cp:lastModifiedBy>David Cuellar</cp:lastModifiedBy>
  <dcterms:created xsi:type="dcterms:W3CDTF">2025-11-10T20:27:01Z</dcterms:created>
  <dcterms:modified xsi:type="dcterms:W3CDTF">2025-11-10T22:12:10Z</dcterms:modified>
</cp:coreProperties>
</file>